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Repo\SurvivalCraft\DesignDoc\"/>
    </mc:Choice>
  </mc:AlternateContent>
  <bookViews>
    <workbookView xWindow="240" yWindow="105" windowWidth="14805" windowHeight="8010" tabRatio="731"/>
  </bookViews>
  <sheets>
    <sheet name="Itemsz" sheetId="23" r:id="rId1"/>
    <sheet name="Items" sheetId="43" r:id="rId2"/>
    <sheet name="ZConfig" sheetId="42" r:id="rId3"/>
  </sheets>
  <externalReferences>
    <externalReference r:id="rId4"/>
  </externalReferences>
  <calcPr calcId="152511"/>
</workbook>
</file>

<file path=xl/calcChain.xml><?xml version="1.0" encoding="utf-8"?>
<calcChain xmlns="http://schemas.openxmlformats.org/spreadsheetml/2006/main">
  <c r="T8" i="23" l="1"/>
  <c r="T21" i="23" l="1"/>
  <c r="T19" i="23" l="1"/>
  <c r="T20" i="23"/>
  <c r="T3" i="23"/>
  <c r="T4" i="23"/>
  <c r="T5" i="23"/>
  <c r="T6" i="23"/>
  <c r="T7" i="23"/>
  <c r="T9" i="23"/>
  <c r="T10" i="23"/>
  <c r="T11" i="23"/>
  <c r="T12" i="23"/>
  <c r="T13" i="23"/>
  <c r="T14" i="23"/>
  <c r="T15" i="23"/>
  <c r="T16" i="23"/>
  <c r="T17" i="23"/>
  <c r="T18" i="23"/>
  <c r="T2" i="23" l="1"/>
</calcChain>
</file>

<file path=xl/sharedStrings.xml><?xml version="1.0" encoding="utf-8"?>
<sst xmlns="http://schemas.openxmlformats.org/spreadsheetml/2006/main" count="282" uniqueCount="113">
  <si>
    <t>Output</t>
  </si>
  <si>
    <t>Ignore below rows contains random data</t>
  </si>
  <si>
    <t>type</t>
  </si>
  <si>
    <t>armor</t>
  </si>
  <si>
    <t>building</t>
  </si>
  <si>
    <t>item</t>
  </si>
  <si>
    <t>weapon</t>
  </si>
  <si>
    <t>Grass</t>
  </si>
  <si>
    <t>Stick</t>
  </si>
  <si>
    <t>true</t>
  </si>
  <si>
    <t>false</t>
  </si>
  <si>
    <t>consumable</t>
  </si>
  <si>
    <t>C:\GitRepo\SurvivalCraft\Assets\Resources\CSV</t>
  </si>
  <si>
    <t>tool</t>
  </si>
  <si>
    <t>id </t>
  </si>
  <si>
    <t>name </t>
  </si>
  <si>
    <t>maxAge </t>
  </si>
  <si>
    <t>nextStage </t>
  </si>
  <si>
    <t>type </t>
  </si>
  <si>
    <t>tool </t>
  </si>
  <si>
    <t>reduceToolDurability </t>
  </si>
  <si>
    <t>hardness </t>
  </si>
  <si>
    <t>isHandMined </t>
  </si>
  <si>
    <t>experience </t>
  </si>
  <si>
    <t>drops1 </t>
  </si>
  <si>
    <t>drop1RateMin </t>
  </si>
  <si>
    <t>drop1RateMax </t>
  </si>
  <si>
    <t>drops2 </t>
  </si>
  <si>
    <t>drop2RateMin </t>
  </si>
  <si>
    <t>drop2RateMax </t>
  </si>
  <si>
    <t>drops3 </t>
  </si>
  <si>
    <t>drop3RateMin </t>
  </si>
  <si>
    <t>drop3RateMax </t>
  </si>
  <si>
    <t>Stone</t>
  </si>
  <si>
    <t>Flint</t>
  </si>
  <si>
    <t>Log</t>
  </si>
  <si>
    <t>Medium Tree</t>
  </si>
  <si>
    <t>Large Tree</t>
  </si>
  <si>
    <t>Mature Tree</t>
  </si>
  <si>
    <t>Berries</t>
  </si>
  <si>
    <t>Berry Bush Small</t>
  </si>
  <si>
    <t>Berry Bush Mature</t>
  </si>
  <si>
    <t>Radish</t>
  </si>
  <si>
    <t>Star fish</t>
  </si>
  <si>
    <t>Crafting Table</t>
  </si>
  <si>
    <t>Mineral</t>
  </si>
  <si>
    <t>RawMaterial</t>
  </si>
  <si>
    <t>Tree</t>
  </si>
  <si>
    <t>Food</t>
  </si>
  <si>
    <t>Plant</t>
  </si>
  <si>
    <t>Build</t>
  </si>
  <si>
    <t>Pickaxe</t>
  </si>
  <si>
    <t>Hand</t>
  </si>
  <si>
    <t>Shovel</t>
  </si>
  <si>
    <t>Axe</t>
  </si>
  <si>
    <t>Hammer</t>
  </si>
  <si>
    <t>id</t>
  </si>
  <si>
    <t>name</t>
  </si>
  <si>
    <t>durability</t>
  </si>
  <si>
    <t>power</t>
  </si>
  <si>
    <t>defence</t>
  </si>
  <si>
    <t>vitality</t>
  </si>
  <si>
    <t>description</t>
  </si>
  <si>
    <t>stackable</t>
  </si>
  <si>
    <t>rarity</t>
  </si>
  <si>
    <t>slug</t>
  </si>
  <si>
    <t>isplaceable</t>
  </si>
  <si>
    <t>itemID1</t>
  </si>
  <si>
    <t>itemAmount1</t>
  </si>
  <si>
    <t>itemID2</t>
  </si>
  <si>
    <t>itemAmount2</t>
  </si>
  <si>
    <t>itemID3</t>
  </si>
  <si>
    <t>itemAmount3</t>
  </si>
  <si>
    <t>itemID4</t>
  </si>
  <si>
    <t>itemAmount4</t>
  </si>
  <si>
    <t>Descriptions</t>
  </si>
  <si>
    <t>grass</t>
  </si>
  <si>
    <t>Flower</t>
  </si>
  <si>
    <t>flower</t>
  </si>
  <si>
    <t>Wood</t>
  </si>
  <si>
    <t>wood</t>
  </si>
  <si>
    <t>stick</t>
  </si>
  <si>
    <t>Apple</t>
  </si>
  <si>
    <t>apple</t>
  </si>
  <si>
    <t>Coal</t>
  </si>
  <si>
    <t>coal</t>
  </si>
  <si>
    <t>Torch</t>
  </si>
  <si>
    <t>torch</t>
  </si>
  <si>
    <t>Wooden Axe</t>
  </si>
  <si>
    <t>woodenaxe</t>
  </si>
  <si>
    <t>Table</t>
  </si>
  <si>
    <t>table</t>
  </si>
  <si>
    <t>helmet</t>
  </si>
  <si>
    <t>Some Armor</t>
  </si>
  <si>
    <t>isstackable</t>
  </si>
  <si>
    <t>Some description</t>
  </si>
  <si>
    <t>None</t>
  </si>
  <si>
    <t>Hoe</t>
  </si>
  <si>
    <t>FishingRod</t>
  </si>
  <si>
    <t>Sword</t>
  </si>
  <si>
    <t>Armor</t>
  </si>
  <si>
    <t>Ore</t>
  </si>
  <si>
    <t>Tool</t>
  </si>
  <si>
    <t>Weapon</t>
  </si>
  <si>
    <t>Consumable</t>
  </si>
  <si>
    <t>Quest</t>
  </si>
  <si>
    <t>Item</t>
  </si>
  <si>
    <t>growsOn</t>
  </si>
  <si>
    <t>probability</t>
  </si>
  <si>
    <t>Wooden Pickaxe</t>
  </si>
  <si>
    <t>toolQuality</t>
  </si>
  <si>
    <t>Stone Pickaxe</t>
  </si>
  <si>
    <t>Stump Tree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</si>
</sst>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0" xfId="0" applyFill="1"/>
    <xf numFmtId="0" fontId="0" fillId="0" borderId="0" xfId="0" applyFont="1" applyAlignment="1">
      <alignment horizontal="left"/>
    </xf>
    <xf numFmtId="0" fontId="1" fillId="2" borderId="0" xfId="0" applyFont="1" applyFill="1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Font="1" applyBorder="1" applyAlignment="1">
      <alignment horizontal="left"/>
    </xf>
    <xf numFmtId="0" fontId="0" fillId="0" borderId="0" xfId="0" applyFont="1" applyBorder="1"/>
    <xf numFmtId="0" fontId="0" fillId="0" borderId="0" xfId="0" applyFont="1"/>
    <xf numFmtId="0" fontId="2" fillId="2" borderId="0" xfId="0" applyFont="1" applyFill="1" applyAlignment="1">
      <alignment horizontal="center" vertical="center"/>
    </xf>
    <xf numFmtId="49" fontId="0" fillId="0" borderId="0" xfId="0" applyNumberFormat="1" applyFill="1"/>
    <xf numFmtId="1" fontId="0" fillId="0" borderId="0" xfId="0" applyNumberFormat="1" applyFont="1" applyBorder="1" applyAlignment="1">
      <alignment horizontal="left"/>
    </xf>
    <xf numFmtId="1" fontId="0" fillId="0" borderId="0" xfId="0" applyNumberFormat="1" applyFont="1" applyAlignment="1">
      <alignment horizontal="left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Fill="1"/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0" fillId="0" borderId="0" xfId="0" applyFill="1" applyAlignment="1">
      <alignment horizontal="left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NumberFormat="1" applyAlignment="1">
      <alignment wrapText="1"/>
    </xf>
    <xf numFmtId="0" fontId="0" fillId="0" borderId="0" xfId="0" applyAlignment="1">
      <alignment horizontal="left" wrapText="1"/>
    </xf>
    <xf numFmtId="0" fontId="0" fillId="0" borderId="0" xfId="0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0" fillId="3" borderId="0" xfId="0" applyFill="1"/>
    <xf numFmtId="0" fontId="0" fillId="3" borderId="0" xfId="0" applyNumberFormat="1" applyFill="1"/>
    <xf numFmtId="0" fontId="0" fillId="3" borderId="0" xfId="0" applyFill="1" applyAlignment="1">
      <alignment horizontal="center" vertical="center"/>
    </xf>
    <xf numFmtId="49" fontId="0" fillId="3" borderId="0" xfId="0" applyNumberFormat="1" applyFill="1"/>
    <xf numFmtId="0" fontId="0" fillId="3" borderId="0" xfId="0" applyFill="1" applyAlignment="1">
      <alignment horizontal="left" vertical="center"/>
    </xf>
    <xf numFmtId="49" fontId="0" fillId="3" borderId="0" xfId="0" applyNumberFormat="1" applyFill="1" applyAlignment="1">
      <alignment horizontal="center" vertical="center"/>
    </xf>
  </cellXfs>
  <cellStyles count="1">
    <cellStyle name="Normal" xfId="0" builtinId="0"/>
  </cellStyles>
  <dxfs count="7"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</dxfs>
  <tableStyles count="0" defaultTableStyle="TableStyleMedium2" defaultPivotStyle="PivotStyleMedium9"/>
  <colors>
    <mruColors>
      <color rgb="FFAC71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tRepo/MyInventory/DesignDoc/GameDesignData%20-%20Cop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tems"/>
      <sheetName val="ZConfig"/>
    </sheet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I21"/>
  <sheetViews>
    <sheetView tabSelected="1" zoomScale="145" zoomScaleNormal="14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9" sqref="B9"/>
    </sheetView>
  </sheetViews>
  <sheetFormatPr defaultColWidth="4.140625" defaultRowHeight="15" outlineLevelCol="1" x14ac:dyDescent="0.25"/>
  <cols>
    <col min="1" max="1" width="3.42578125" style="1" bestFit="1" customWidth="1"/>
    <col min="2" max="2" width="17.5703125" style="1" bestFit="1" customWidth="1"/>
    <col min="3" max="3" width="2.7109375" style="14" customWidth="1"/>
    <col min="4" max="4" width="3" style="12" customWidth="1"/>
    <col min="5" max="5" width="12.140625" style="9" bestFit="1" customWidth="1"/>
    <col min="6" max="6" width="7.7109375" style="18" bestFit="1" customWidth="1"/>
    <col min="7" max="7" width="8.140625" style="12" customWidth="1"/>
    <col min="8" max="8" width="9.42578125" style="12" bestFit="1" customWidth="1"/>
    <col min="9" max="9" width="8.42578125" style="12" customWidth="1"/>
    <col min="10" max="10" width="5.7109375" style="12" customWidth="1"/>
    <col min="11" max="11" width="5.140625" style="12" customWidth="1"/>
    <col min="12" max="13" width="6" style="12" hidden="1" customWidth="1" outlineLevel="1"/>
    <col min="14" max="14" width="5.140625" style="12" hidden="1" customWidth="1" outlineLevel="1"/>
    <col min="15" max="16" width="6" style="12" hidden="1" customWidth="1" outlineLevel="1"/>
    <col min="17" max="17" width="5.140625" style="12" hidden="1" customWidth="1" outlineLevel="1"/>
    <col min="18" max="19" width="6" style="12" hidden="1" customWidth="1" outlineLevel="1"/>
    <col min="20" max="20" width="7.5703125" style="1" customWidth="1" collapsed="1"/>
    <col min="21" max="22" width="6.42578125" customWidth="1"/>
    <col min="23" max="23" width="5.28515625" bestFit="1" customWidth="1"/>
    <col min="24" max="24" width="7.140625" bestFit="1" customWidth="1"/>
    <col min="25" max="25" width="7.7109375" customWidth="1"/>
    <col min="26" max="32" width="7.7109375" customWidth="1" outlineLevel="1"/>
    <col min="33" max="34" width="7.140625" style="1" customWidth="1"/>
  </cols>
  <sheetData>
    <row r="1" spans="1:35" s="20" customFormat="1" ht="48" customHeight="1" x14ac:dyDescent="0.25">
      <c r="A1" s="20" t="s">
        <v>14</v>
      </c>
      <c r="B1" s="20" t="s">
        <v>15</v>
      </c>
      <c r="C1" s="21" t="s">
        <v>16</v>
      </c>
      <c r="D1" s="20" t="s">
        <v>17</v>
      </c>
      <c r="E1" s="20" t="s">
        <v>18</v>
      </c>
      <c r="F1" s="22" t="s">
        <v>19</v>
      </c>
      <c r="G1" s="20" t="s">
        <v>20</v>
      </c>
      <c r="H1" s="20" t="s">
        <v>21</v>
      </c>
      <c r="I1" s="20" t="s">
        <v>22</v>
      </c>
      <c r="J1" s="20" t="s">
        <v>23</v>
      </c>
      <c r="K1" s="20" t="s">
        <v>24</v>
      </c>
      <c r="L1" s="20" t="s">
        <v>25</v>
      </c>
      <c r="M1" s="20" t="s">
        <v>26</v>
      </c>
      <c r="N1" s="20" t="s">
        <v>27</v>
      </c>
      <c r="O1" s="20" t="s">
        <v>28</v>
      </c>
      <c r="P1" s="20" t="s">
        <v>29</v>
      </c>
      <c r="Q1" s="20" t="s">
        <v>30</v>
      </c>
      <c r="R1" s="20" t="s">
        <v>31</v>
      </c>
      <c r="S1" s="20" t="s">
        <v>32</v>
      </c>
      <c r="T1" s="20" t="s">
        <v>65</v>
      </c>
      <c r="U1" s="20" t="s">
        <v>62</v>
      </c>
      <c r="V1" s="20" t="s">
        <v>58</v>
      </c>
      <c r="W1" s="23" t="s">
        <v>94</v>
      </c>
      <c r="X1" s="24" t="s">
        <v>66</v>
      </c>
      <c r="Y1" s="20" t="s">
        <v>67</v>
      </c>
      <c r="Z1" s="20" t="s">
        <v>68</v>
      </c>
      <c r="AA1" s="20" t="s">
        <v>69</v>
      </c>
      <c r="AB1" s="20" t="s">
        <v>70</v>
      </c>
      <c r="AC1" s="20" t="s">
        <v>71</v>
      </c>
      <c r="AD1" s="20" t="s">
        <v>72</v>
      </c>
      <c r="AE1" s="20" t="s">
        <v>73</v>
      </c>
      <c r="AF1" s="20" t="s">
        <v>74</v>
      </c>
      <c r="AG1" s="20" t="s">
        <v>107</v>
      </c>
      <c r="AH1" s="20" t="s">
        <v>108</v>
      </c>
      <c r="AI1" s="20" t="s">
        <v>110</v>
      </c>
    </row>
    <row r="2" spans="1:35" x14ac:dyDescent="0.25">
      <c r="A2">
        <v>0</v>
      </c>
      <c r="B2" t="s">
        <v>34</v>
      </c>
      <c r="C2" s="15">
        <v>-1</v>
      </c>
      <c r="D2" s="12">
        <v>-1</v>
      </c>
      <c r="E2" t="s">
        <v>46</v>
      </c>
      <c r="F2" s="17" t="s">
        <v>52</v>
      </c>
      <c r="G2" s="13">
        <v>0</v>
      </c>
      <c r="H2" s="13">
        <v>0.2</v>
      </c>
      <c r="I2" s="13" t="s">
        <v>9</v>
      </c>
      <c r="J2" s="13">
        <v>0</v>
      </c>
      <c r="K2" s="13">
        <v>0</v>
      </c>
      <c r="L2" s="13">
        <v>1</v>
      </c>
      <c r="M2" s="13">
        <v>1</v>
      </c>
      <c r="N2" s="13">
        <v>-1</v>
      </c>
      <c r="O2" s="13">
        <v>0</v>
      </c>
      <c r="P2" s="13">
        <v>0</v>
      </c>
      <c r="Q2" s="13">
        <v>-1</v>
      </c>
      <c r="R2" s="13">
        <v>0</v>
      </c>
      <c r="S2" s="13">
        <v>0</v>
      </c>
      <c r="T2" t="str">
        <f t="shared" ref="T2:T18" si="0">TRIM(LOWER(SUBSTITUTE(B2," ", "")))</f>
        <v>flint</v>
      </c>
      <c r="U2" t="s">
        <v>95</v>
      </c>
      <c r="V2" s="13">
        <v>-1</v>
      </c>
      <c r="W2" s="19" t="s">
        <v>9</v>
      </c>
      <c r="X2" s="19" t="s">
        <v>10</v>
      </c>
      <c r="Y2">
        <v>-1</v>
      </c>
      <c r="Z2">
        <v>-1</v>
      </c>
      <c r="AA2">
        <v>-1</v>
      </c>
      <c r="AB2">
        <v>-1</v>
      </c>
      <c r="AC2">
        <v>-1</v>
      </c>
      <c r="AD2">
        <v>-1</v>
      </c>
      <c r="AE2">
        <v>-1</v>
      </c>
      <c r="AF2">
        <v>-1</v>
      </c>
      <c r="AG2">
        <v>3</v>
      </c>
      <c r="AH2">
        <v>1</v>
      </c>
      <c r="AI2">
        <v>1</v>
      </c>
    </row>
    <row r="3" spans="1:35" x14ac:dyDescent="0.25">
      <c r="A3">
        <v>1</v>
      </c>
      <c r="B3" t="s">
        <v>33</v>
      </c>
      <c r="C3" s="15">
        <v>-1</v>
      </c>
      <c r="D3" s="12">
        <v>-1</v>
      </c>
      <c r="E3" t="s">
        <v>46</v>
      </c>
      <c r="F3" s="17" t="s">
        <v>51</v>
      </c>
      <c r="G3" s="13">
        <v>10</v>
      </c>
      <c r="H3" s="13">
        <v>15</v>
      </c>
      <c r="I3" s="19" t="s">
        <v>10</v>
      </c>
      <c r="J3" s="13">
        <v>0</v>
      </c>
      <c r="K3" s="13">
        <v>1</v>
      </c>
      <c r="L3" s="13">
        <v>1</v>
      </c>
      <c r="M3" s="13">
        <v>1</v>
      </c>
      <c r="N3" s="13">
        <v>-1</v>
      </c>
      <c r="O3" s="13">
        <v>0</v>
      </c>
      <c r="P3" s="13">
        <v>0</v>
      </c>
      <c r="Q3" s="13">
        <v>-1</v>
      </c>
      <c r="R3" s="13">
        <v>0</v>
      </c>
      <c r="S3" s="13">
        <v>0</v>
      </c>
      <c r="T3" t="str">
        <f t="shared" si="0"/>
        <v>stone</v>
      </c>
      <c r="U3" t="s">
        <v>95</v>
      </c>
      <c r="V3" s="13">
        <v>-1</v>
      </c>
      <c r="W3" s="19" t="s">
        <v>9</v>
      </c>
      <c r="X3" s="19" t="s">
        <v>10</v>
      </c>
      <c r="Y3">
        <v>-1</v>
      </c>
      <c r="Z3">
        <v>-1</v>
      </c>
      <c r="AA3">
        <v>-1</v>
      </c>
      <c r="AB3">
        <v>-1</v>
      </c>
      <c r="AC3">
        <v>-1</v>
      </c>
      <c r="AD3">
        <v>-1</v>
      </c>
      <c r="AE3">
        <v>-1</v>
      </c>
      <c r="AF3">
        <v>-1</v>
      </c>
      <c r="AG3">
        <v>3</v>
      </c>
      <c r="AH3">
        <v>1</v>
      </c>
      <c r="AI3">
        <v>1</v>
      </c>
    </row>
    <row r="4" spans="1:35" x14ac:dyDescent="0.25">
      <c r="A4">
        <v>2</v>
      </c>
      <c r="B4" t="s">
        <v>84</v>
      </c>
      <c r="C4" s="15">
        <v>-1</v>
      </c>
      <c r="D4" s="12">
        <v>-1</v>
      </c>
      <c r="E4" t="s">
        <v>46</v>
      </c>
      <c r="F4" s="17" t="s">
        <v>51</v>
      </c>
      <c r="G4" s="13">
        <v>10</v>
      </c>
      <c r="H4" s="13">
        <v>15</v>
      </c>
      <c r="I4" s="19" t="s">
        <v>10</v>
      </c>
      <c r="J4" s="13">
        <v>10</v>
      </c>
      <c r="K4" s="13">
        <v>2</v>
      </c>
      <c r="L4" s="13">
        <v>1</v>
      </c>
      <c r="M4" s="13">
        <v>1</v>
      </c>
      <c r="N4" s="13">
        <v>-1</v>
      </c>
      <c r="O4" s="13">
        <v>0</v>
      </c>
      <c r="P4" s="13">
        <v>0</v>
      </c>
      <c r="Q4" s="13">
        <v>-1</v>
      </c>
      <c r="R4" s="13">
        <v>0</v>
      </c>
      <c r="S4" s="13">
        <v>0</v>
      </c>
      <c r="T4" t="str">
        <f t="shared" si="0"/>
        <v>coal</v>
      </c>
      <c r="U4" t="s">
        <v>95</v>
      </c>
      <c r="V4" s="13">
        <v>-1</v>
      </c>
      <c r="W4" s="19" t="s">
        <v>9</v>
      </c>
      <c r="X4" s="19" t="s">
        <v>10</v>
      </c>
      <c r="Y4">
        <v>-1</v>
      </c>
      <c r="Z4">
        <v>-1</v>
      </c>
      <c r="AA4">
        <v>-1</v>
      </c>
      <c r="AB4">
        <v>-1</v>
      </c>
      <c r="AC4">
        <v>-1</v>
      </c>
      <c r="AD4">
        <v>-1</v>
      </c>
      <c r="AE4">
        <v>-1</v>
      </c>
      <c r="AF4">
        <v>-1</v>
      </c>
      <c r="AG4">
        <v>3</v>
      </c>
      <c r="AH4">
        <v>0.75</v>
      </c>
      <c r="AI4">
        <v>1</v>
      </c>
    </row>
    <row r="5" spans="1:35" x14ac:dyDescent="0.25">
      <c r="A5">
        <v>3</v>
      </c>
      <c r="B5" s="1" t="s">
        <v>7</v>
      </c>
      <c r="C5" s="14">
        <v>-1</v>
      </c>
      <c r="D5" s="12">
        <v>-1</v>
      </c>
      <c r="E5" s="14" t="s">
        <v>46</v>
      </c>
      <c r="F5" s="18" t="s">
        <v>52</v>
      </c>
      <c r="G5" s="12">
        <v>0</v>
      </c>
      <c r="H5" s="12">
        <v>0.2</v>
      </c>
      <c r="I5" s="13" t="s">
        <v>9</v>
      </c>
      <c r="J5" s="13">
        <v>0</v>
      </c>
      <c r="K5" s="12">
        <v>3</v>
      </c>
      <c r="L5" s="12">
        <v>1</v>
      </c>
      <c r="M5" s="12">
        <v>1</v>
      </c>
      <c r="N5" s="13">
        <v>-1</v>
      </c>
      <c r="O5" s="13">
        <v>0</v>
      </c>
      <c r="P5" s="13">
        <v>0</v>
      </c>
      <c r="Q5" s="12">
        <v>-1</v>
      </c>
      <c r="R5" s="12">
        <v>0</v>
      </c>
      <c r="S5" s="13">
        <v>0</v>
      </c>
      <c r="T5" t="str">
        <f t="shared" si="0"/>
        <v>grass</v>
      </c>
      <c r="U5" t="s">
        <v>95</v>
      </c>
      <c r="V5" s="13">
        <v>-1</v>
      </c>
      <c r="W5" s="19" t="s">
        <v>9</v>
      </c>
      <c r="X5" s="19" t="s">
        <v>10</v>
      </c>
      <c r="Y5">
        <v>-1</v>
      </c>
      <c r="Z5">
        <v>-1</v>
      </c>
      <c r="AA5">
        <v>-1</v>
      </c>
      <c r="AB5">
        <v>-1</v>
      </c>
      <c r="AC5">
        <v>-1</v>
      </c>
      <c r="AD5">
        <v>-1</v>
      </c>
      <c r="AE5">
        <v>-1</v>
      </c>
      <c r="AF5">
        <v>-1</v>
      </c>
      <c r="AG5">
        <v>3</v>
      </c>
      <c r="AH5" s="1">
        <v>1.2</v>
      </c>
      <c r="AI5">
        <v>1</v>
      </c>
    </row>
    <row r="6" spans="1:35" x14ac:dyDescent="0.25">
      <c r="A6">
        <v>4</v>
      </c>
      <c r="B6" s="1" t="s">
        <v>8</v>
      </c>
      <c r="C6" s="14">
        <v>-1</v>
      </c>
      <c r="D6" s="12">
        <v>-1</v>
      </c>
      <c r="E6" s="14" t="s">
        <v>46</v>
      </c>
      <c r="F6" s="18" t="s">
        <v>52</v>
      </c>
      <c r="G6" s="12">
        <v>0</v>
      </c>
      <c r="H6" s="12">
        <v>0.2</v>
      </c>
      <c r="I6" s="13" t="s">
        <v>9</v>
      </c>
      <c r="J6" s="13">
        <v>0</v>
      </c>
      <c r="K6" s="12">
        <v>4</v>
      </c>
      <c r="L6" s="12">
        <v>1</v>
      </c>
      <c r="M6" s="12">
        <v>1</v>
      </c>
      <c r="N6" s="13">
        <v>-1</v>
      </c>
      <c r="O6" s="13">
        <v>0</v>
      </c>
      <c r="P6" s="13">
        <v>0</v>
      </c>
      <c r="Q6" s="12">
        <v>-1</v>
      </c>
      <c r="R6" s="12">
        <v>0</v>
      </c>
      <c r="S6" s="13">
        <v>0</v>
      </c>
      <c r="T6" t="str">
        <f t="shared" si="0"/>
        <v>stick</v>
      </c>
      <c r="U6" t="s">
        <v>95</v>
      </c>
      <c r="V6" s="13">
        <v>-1</v>
      </c>
      <c r="W6" s="19" t="s">
        <v>9</v>
      </c>
      <c r="X6" s="19" t="s">
        <v>10</v>
      </c>
      <c r="Y6">
        <v>-1</v>
      </c>
      <c r="Z6">
        <v>-1</v>
      </c>
      <c r="AA6">
        <v>-1</v>
      </c>
      <c r="AB6">
        <v>-1</v>
      </c>
      <c r="AC6">
        <v>-1</v>
      </c>
      <c r="AD6">
        <v>-1</v>
      </c>
      <c r="AE6">
        <v>-1</v>
      </c>
      <c r="AF6">
        <v>-1</v>
      </c>
      <c r="AG6">
        <v>3</v>
      </c>
      <c r="AH6" s="1">
        <v>1</v>
      </c>
      <c r="AI6">
        <v>1</v>
      </c>
    </row>
    <row r="7" spans="1:35" x14ac:dyDescent="0.25">
      <c r="A7">
        <v>5</v>
      </c>
      <c r="B7" s="1" t="s">
        <v>35</v>
      </c>
      <c r="C7" s="14">
        <v>-1</v>
      </c>
      <c r="D7" s="12">
        <v>-1</v>
      </c>
      <c r="E7" s="9" t="s">
        <v>46</v>
      </c>
      <c r="F7" s="18" t="s">
        <v>52</v>
      </c>
      <c r="G7" s="12">
        <v>0</v>
      </c>
      <c r="H7" s="12">
        <v>1</v>
      </c>
      <c r="I7" s="13" t="s">
        <v>9</v>
      </c>
      <c r="J7" s="12">
        <v>0</v>
      </c>
      <c r="K7" s="12">
        <v>5</v>
      </c>
      <c r="L7" s="12">
        <v>1</v>
      </c>
      <c r="M7" s="12">
        <v>1</v>
      </c>
      <c r="N7" s="13">
        <v>-1</v>
      </c>
      <c r="O7" s="13">
        <v>0</v>
      </c>
      <c r="P7" s="13">
        <v>0</v>
      </c>
      <c r="Q7" s="12">
        <v>-1</v>
      </c>
      <c r="R7" s="12">
        <v>0</v>
      </c>
      <c r="S7" s="13">
        <v>0</v>
      </c>
      <c r="T7" t="str">
        <f t="shared" si="0"/>
        <v>log</v>
      </c>
      <c r="U7" t="s">
        <v>95</v>
      </c>
      <c r="V7" s="13">
        <v>-1</v>
      </c>
      <c r="W7" s="19" t="s">
        <v>9</v>
      </c>
      <c r="X7" s="19" t="s">
        <v>10</v>
      </c>
      <c r="Y7">
        <v>-1</v>
      </c>
      <c r="Z7">
        <v>-1</v>
      </c>
      <c r="AA7">
        <v>-1</v>
      </c>
      <c r="AB7">
        <v>-1</v>
      </c>
      <c r="AC7">
        <v>-1</v>
      </c>
      <c r="AD7">
        <v>-1</v>
      </c>
      <c r="AE7">
        <v>-1</v>
      </c>
      <c r="AF7">
        <v>-1</v>
      </c>
      <c r="AG7">
        <v>0</v>
      </c>
      <c r="AH7" s="1">
        <v>0</v>
      </c>
      <c r="AI7">
        <v>1</v>
      </c>
    </row>
    <row r="8" spans="1:35" x14ac:dyDescent="0.25">
      <c r="A8" s="25">
        <v>6</v>
      </c>
      <c r="B8" s="25" t="s">
        <v>112</v>
      </c>
      <c r="C8" s="26">
        <v>-1</v>
      </c>
      <c r="D8" s="27">
        <v>-1</v>
      </c>
      <c r="E8" s="28" t="s">
        <v>47</v>
      </c>
      <c r="F8" s="29" t="s">
        <v>54</v>
      </c>
      <c r="G8" s="27">
        <v>6</v>
      </c>
      <c r="H8" s="27">
        <v>2</v>
      </c>
      <c r="I8" s="30" t="s">
        <v>10</v>
      </c>
      <c r="J8" s="27">
        <v>0</v>
      </c>
      <c r="K8" s="27">
        <v>5</v>
      </c>
      <c r="L8" s="27">
        <v>1</v>
      </c>
      <c r="M8" s="27">
        <v>1</v>
      </c>
      <c r="N8" s="27">
        <v>-1</v>
      </c>
      <c r="O8" s="27">
        <v>0</v>
      </c>
      <c r="P8" s="27">
        <v>0</v>
      </c>
      <c r="Q8" s="27">
        <v>-1</v>
      </c>
      <c r="R8" s="27">
        <v>0</v>
      </c>
      <c r="S8" s="27">
        <v>0</v>
      </c>
      <c r="T8" s="25" t="str">
        <f t="shared" ref="T8" si="1">TRIM(LOWER(SUBSTITUTE(B8," ", "")))</f>
        <v>stumptree</v>
      </c>
      <c r="U8" s="25" t="s">
        <v>95</v>
      </c>
      <c r="V8" s="27">
        <v>-1</v>
      </c>
      <c r="W8" s="30" t="s">
        <v>9</v>
      </c>
      <c r="X8" s="30" t="s">
        <v>10</v>
      </c>
      <c r="Y8" s="25">
        <v>-1</v>
      </c>
      <c r="Z8" s="25">
        <v>-1</v>
      </c>
      <c r="AA8" s="25">
        <v>-1</v>
      </c>
      <c r="AB8" s="25">
        <v>-1</v>
      </c>
      <c r="AC8" s="25">
        <v>-1</v>
      </c>
      <c r="AD8" s="25">
        <v>-1</v>
      </c>
      <c r="AE8" s="25">
        <v>-1</v>
      </c>
      <c r="AF8" s="25">
        <v>-1</v>
      </c>
      <c r="AG8" s="25">
        <v>0</v>
      </c>
      <c r="AH8" s="25">
        <v>0</v>
      </c>
      <c r="AI8" s="25">
        <v>1</v>
      </c>
    </row>
    <row r="9" spans="1:35" s="25" customFormat="1" x14ac:dyDescent="0.25">
      <c r="A9" s="25">
        <v>7</v>
      </c>
      <c r="B9" s="25" t="s">
        <v>36</v>
      </c>
      <c r="C9" s="26">
        <v>-1</v>
      </c>
      <c r="D9" s="27">
        <v>-1</v>
      </c>
      <c r="E9" s="28" t="s">
        <v>47</v>
      </c>
      <c r="F9" s="29" t="s">
        <v>54</v>
      </c>
      <c r="G9" s="27">
        <v>6</v>
      </c>
      <c r="H9" s="27">
        <v>5</v>
      </c>
      <c r="I9" s="30" t="s">
        <v>10</v>
      </c>
      <c r="J9" s="27">
        <v>0</v>
      </c>
      <c r="K9" s="27">
        <v>5</v>
      </c>
      <c r="L9" s="27">
        <v>1</v>
      </c>
      <c r="M9" s="27">
        <v>2</v>
      </c>
      <c r="N9" s="27">
        <v>-1</v>
      </c>
      <c r="O9" s="27">
        <v>0</v>
      </c>
      <c r="P9" s="27">
        <v>0</v>
      </c>
      <c r="Q9" s="27">
        <v>-1</v>
      </c>
      <c r="R9" s="27">
        <v>0</v>
      </c>
      <c r="S9" s="27">
        <v>0</v>
      </c>
      <c r="T9" s="25" t="str">
        <f t="shared" si="0"/>
        <v>mediumtree</v>
      </c>
      <c r="U9" s="25" t="s">
        <v>95</v>
      </c>
      <c r="V9" s="27">
        <v>-1</v>
      </c>
      <c r="W9" s="30" t="s">
        <v>9</v>
      </c>
      <c r="X9" s="30" t="s">
        <v>10</v>
      </c>
      <c r="Y9" s="25">
        <v>-1</v>
      </c>
      <c r="Z9" s="25">
        <v>-1</v>
      </c>
      <c r="AA9" s="25">
        <v>-1</v>
      </c>
      <c r="AB9" s="25">
        <v>-1</v>
      </c>
      <c r="AC9" s="25">
        <v>-1</v>
      </c>
      <c r="AD9" s="25">
        <v>-1</v>
      </c>
      <c r="AE9" s="25">
        <v>-1</v>
      </c>
      <c r="AF9" s="25">
        <v>-1</v>
      </c>
      <c r="AG9" s="25">
        <v>3</v>
      </c>
      <c r="AH9" s="25">
        <v>2</v>
      </c>
      <c r="AI9" s="25">
        <v>1</v>
      </c>
    </row>
    <row r="10" spans="1:35" s="25" customFormat="1" x14ac:dyDescent="0.25">
      <c r="A10" s="25">
        <v>8</v>
      </c>
      <c r="B10" s="25" t="s">
        <v>37</v>
      </c>
      <c r="C10" s="26">
        <v>-1</v>
      </c>
      <c r="D10" s="27">
        <v>-1</v>
      </c>
      <c r="E10" s="28" t="s">
        <v>47</v>
      </c>
      <c r="F10" s="29" t="s">
        <v>54</v>
      </c>
      <c r="G10" s="27">
        <v>8</v>
      </c>
      <c r="H10" s="27">
        <v>10</v>
      </c>
      <c r="I10" s="30" t="s">
        <v>10</v>
      </c>
      <c r="J10" s="27">
        <v>0</v>
      </c>
      <c r="K10" s="27">
        <v>5</v>
      </c>
      <c r="L10" s="27">
        <v>2</v>
      </c>
      <c r="M10" s="27">
        <v>4</v>
      </c>
      <c r="N10" s="27">
        <v>4</v>
      </c>
      <c r="O10" s="27">
        <v>1</v>
      </c>
      <c r="P10" s="27">
        <v>2</v>
      </c>
      <c r="Q10" s="27">
        <v>-1</v>
      </c>
      <c r="R10" s="27">
        <v>0</v>
      </c>
      <c r="S10" s="27">
        <v>0</v>
      </c>
      <c r="T10" s="25" t="str">
        <f t="shared" si="0"/>
        <v>largetree</v>
      </c>
      <c r="U10" s="25" t="s">
        <v>95</v>
      </c>
      <c r="V10" s="27">
        <v>-1</v>
      </c>
      <c r="W10" s="30" t="s">
        <v>9</v>
      </c>
      <c r="X10" s="30" t="s">
        <v>10</v>
      </c>
      <c r="Y10" s="25">
        <v>-1</v>
      </c>
      <c r="Z10" s="25">
        <v>-1</v>
      </c>
      <c r="AA10" s="25">
        <v>-1</v>
      </c>
      <c r="AB10" s="25">
        <v>-1</v>
      </c>
      <c r="AC10" s="25">
        <v>-1</v>
      </c>
      <c r="AD10" s="25">
        <v>-1</v>
      </c>
      <c r="AE10" s="25">
        <v>-1</v>
      </c>
      <c r="AF10" s="25">
        <v>-1</v>
      </c>
      <c r="AG10" s="25">
        <v>3</v>
      </c>
      <c r="AH10" s="25">
        <v>2</v>
      </c>
      <c r="AI10" s="25">
        <v>1</v>
      </c>
    </row>
    <row r="11" spans="1:35" s="25" customFormat="1" x14ac:dyDescent="0.25">
      <c r="A11" s="25">
        <v>9</v>
      </c>
      <c r="B11" s="25" t="s">
        <v>38</v>
      </c>
      <c r="C11" s="26">
        <v>-1</v>
      </c>
      <c r="D11" s="27">
        <v>-1</v>
      </c>
      <c r="E11" s="28" t="s">
        <v>47</v>
      </c>
      <c r="F11" s="29" t="s">
        <v>54</v>
      </c>
      <c r="G11" s="27">
        <v>8</v>
      </c>
      <c r="H11" s="27">
        <v>12</v>
      </c>
      <c r="I11" s="30" t="s">
        <v>10</v>
      </c>
      <c r="J11" s="27">
        <v>0</v>
      </c>
      <c r="K11" s="27">
        <v>5</v>
      </c>
      <c r="L11" s="27">
        <v>2</v>
      </c>
      <c r="M11" s="27">
        <v>4</v>
      </c>
      <c r="N11" s="27">
        <v>4</v>
      </c>
      <c r="O11" s="27">
        <v>1</v>
      </c>
      <c r="P11" s="27">
        <v>2</v>
      </c>
      <c r="Q11" s="27">
        <v>-1</v>
      </c>
      <c r="R11" s="27">
        <v>0</v>
      </c>
      <c r="S11" s="27">
        <v>0</v>
      </c>
      <c r="T11" s="25" t="str">
        <f t="shared" si="0"/>
        <v>maturetree</v>
      </c>
      <c r="U11" s="25" t="s">
        <v>95</v>
      </c>
      <c r="V11" s="27">
        <v>-1</v>
      </c>
      <c r="W11" s="30" t="s">
        <v>9</v>
      </c>
      <c r="X11" s="30" t="s">
        <v>10</v>
      </c>
      <c r="Y11" s="25">
        <v>-1</v>
      </c>
      <c r="Z11" s="25">
        <v>-1</v>
      </c>
      <c r="AA11" s="25">
        <v>-1</v>
      </c>
      <c r="AB11" s="25">
        <v>-1</v>
      </c>
      <c r="AC11" s="25">
        <v>-1</v>
      </c>
      <c r="AD11" s="25">
        <v>-1</v>
      </c>
      <c r="AE11" s="25">
        <v>-1</v>
      </c>
      <c r="AF11" s="25">
        <v>-1</v>
      </c>
      <c r="AG11" s="25">
        <v>3</v>
      </c>
      <c r="AH11" s="25">
        <v>2</v>
      </c>
      <c r="AI11" s="25">
        <v>1</v>
      </c>
    </row>
    <row r="12" spans="1:35" x14ac:dyDescent="0.25">
      <c r="A12">
        <v>10</v>
      </c>
      <c r="B12" s="1" t="s">
        <v>39</v>
      </c>
      <c r="C12" s="14">
        <v>-1</v>
      </c>
      <c r="D12" s="12">
        <v>-1</v>
      </c>
      <c r="E12" s="9" t="s">
        <v>48</v>
      </c>
      <c r="F12" s="18" t="s">
        <v>52</v>
      </c>
      <c r="G12" s="12">
        <v>0</v>
      </c>
      <c r="H12" s="12">
        <v>0.1</v>
      </c>
      <c r="I12" s="13" t="s">
        <v>9</v>
      </c>
      <c r="J12" s="12">
        <v>0</v>
      </c>
      <c r="K12" s="12">
        <v>10</v>
      </c>
      <c r="L12" s="12">
        <v>1</v>
      </c>
      <c r="M12" s="12">
        <v>1</v>
      </c>
      <c r="N12" s="13">
        <v>-1</v>
      </c>
      <c r="O12" s="13">
        <v>0</v>
      </c>
      <c r="P12" s="13">
        <v>0</v>
      </c>
      <c r="Q12" s="12">
        <v>-1</v>
      </c>
      <c r="R12" s="12">
        <v>0</v>
      </c>
      <c r="S12" s="13">
        <v>0</v>
      </c>
      <c r="T12" t="str">
        <f t="shared" si="0"/>
        <v>berries</v>
      </c>
      <c r="U12" t="s">
        <v>95</v>
      </c>
      <c r="V12" s="13">
        <v>-1</v>
      </c>
      <c r="W12" s="19" t="s">
        <v>9</v>
      </c>
      <c r="X12" s="19" t="s">
        <v>10</v>
      </c>
      <c r="Y12">
        <v>-1</v>
      </c>
      <c r="Z12">
        <v>-1</v>
      </c>
      <c r="AA12">
        <v>-1</v>
      </c>
      <c r="AB12">
        <v>-1</v>
      </c>
      <c r="AC12">
        <v>-1</v>
      </c>
      <c r="AD12">
        <v>-1</v>
      </c>
      <c r="AE12">
        <v>-1</v>
      </c>
      <c r="AF12">
        <v>-1</v>
      </c>
      <c r="AG12">
        <v>0</v>
      </c>
      <c r="AH12" s="1">
        <v>0</v>
      </c>
      <c r="AI12">
        <v>1</v>
      </c>
    </row>
    <row r="13" spans="1:35" x14ac:dyDescent="0.25">
      <c r="A13">
        <v>11</v>
      </c>
      <c r="B13" s="1" t="s">
        <v>40</v>
      </c>
      <c r="C13" s="14">
        <v>-1</v>
      </c>
      <c r="D13" s="12">
        <v>-1</v>
      </c>
      <c r="E13" s="9" t="s">
        <v>49</v>
      </c>
      <c r="F13" s="18" t="s">
        <v>54</v>
      </c>
      <c r="G13" s="12">
        <v>0</v>
      </c>
      <c r="H13" s="12">
        <v>0.2</v>
      </c>
      <c r="I13" s="13" t="s">
        <v>9</v>
      </c>
      <c r="J13" s="12">
        <v>0</v>
      </c>
      <c r="K13" s="12">
        <v>4</v>
      </c>
      <c r="L13" s="12">
        <v>1</v>
      </c>
      <c r="M13" s="12">
        <v>1</v>
      </c>
      <c r="N13" s="13">
        <v>-1</v>
      </c>
      <c r="O13" s="13">
        <v>0</v>
      </c>
      <c r="P13" s="13">
        <v>0</v>
      </c>
      <c r="Q13" s="12">
        <v>-1</v>
      </c>
      <c r="R13" s="12">
        <v>0</v>
      </c>
      <c r="S13" s="13">
        <v>0</v>
      </c>
      <c r="T13" t="str">
        <f t="shared" si="0"/>
        <v>berrybushsmall</v>
      </c>
      <c r="U13" t="s">
        <v>95</v>
      </c>
      <c r="V13" s="13">
        <v>-1</v>
      </c>
      <c r="W13" s="19" t="s">
        <v>9</v>
      </c>
      <c r="X13" s="19" t="s">
        <v>10</v>
      </c>
      <c r="Y13">
        <v>-1</v>
      </c>
      <c r="Z13">
        <v>-1</v>
      </c>
      <c r="AA13">
        <v>-1</v>
      </c>
      <c r="AB13">
        <v>-1</v>
      </c>
      <c r="AC13">
        <v>-1</v>
      </c>
      <c r="AD13">
        <v>-1</v>
      </c>
      <c r="AE13">
        <v>-1</v>
      </c>
      <c r="AF13">
        <v>-1</v>
      </c>
      <c r="AG13">
        <v>3</v>
      </c>
      <c r="AH13" s="1">
        <v>0.5</v>
      </c>
      <c r="AI13">
        <v>1</v>
      </c>
    </row>
    <row r="14" spans="1:35" x14ac:dyDescent="0.25">
      <c r="A14">
        <v>12</v>
      </c>
      <c r="B14" s="1" t="s">
        <v>41</v>
      </c>
      <c r="C14" s="14">
        <v>-1</v>
      </c>
      <c r="D14" s="12">
        <v>-1</v>
      </c>
      <c r="E14" s="9" t="s">
        <v>49</v>
      </c>
      <c r="F14" s="18" t="s">
        <v>52</v>
      </c>
      <c r="G14" s="12">
        <v>0</v>
      </c>
      <c r="H14" s="12">
        <v>0.2</v>
      </c>
      <c r="I14" s="13" t="s">
        <v>9</v>
      </c>
      <c r="J14" s="12">
        <v>0</v>
      </c>
      <c r="K14" s="12">
        <v>10</v>
      </c>
      <c r="L14" s="12">
        <v>1</v>
      </c>
      <c r="M14" s="12">
        <v>2</v>
      </c>
      <c r="N14" s="13">
        <v>-1</v>
      </c>
      <c r="O14" s="13">
        <v>0</v>
      </c>
      <c r="P14" s="13">
        <v>0</v>
      </c>
      <c r="Q14" s="12">
        <v>-1</v>
      </c>
      <c r="R14" s="12">
        <v>0</v>
      </c>
      <c r="S14" s="12">
        <v>0</v>
      </c>
      <c r="T14" t="str">
        <f t="shared" si="0"/>
        <v>berrybushmature</v>
      </c>
      <c r="U14" t="s">
        <v>95</v>
      </c>
      <c r="V14" s="13">
        <v>-1</v>
      </c>
      <c r="W14" s="19" t="s">
        <v>9</v>
      </c>
      <c r="X14" s="19" t="s">
        <v>10</v>
      </c>
      <c r="Y14">
        <v>-1</v>
      </c>
      <c r="Z14">
        <v>-1</v>
      </c>
      <c r="AA14">
        <v>-1</v>
      </c>
      <c r="AB14">
        <v>-1</v>
      </c>
      <c r="AC14">
        <v>-1</v>
      </c>
      <c r="AD14">
        <v>-1</v>
      </c>
      <c r="AE14">
        <v>-1</v>
      </c>
      <c r="AF14">
        <v>-1</v>
      </c>
      <c r="AG14">
        <v>3</v>
      </c>
      <c r="AH14" s="1">
        <v>0.5</v>
      </c>
      <c r="AI14">
        <v>1</v>
      </c>
    </row>
    <row r="15" spans="1:35" x14ac:dyDescent="0.25">
      <c r="A15">
        <v>13</v>
      </c>
      <c r="B15" s="1" t="s">
        <v>42</v>
      </c>
      <c r="C15" s="14">
        <v>-1</v>
      </c>
      <c r="D15" s="12">
        <v>-1</v>
      </c>
      <c r="E15" s="9" t="s">
        <v>48</v>
      </c>
      <c r="F15" s="18" t="s">
        <v>52</v>
      </c>
      <c r="G15" s="12">
        <v>0</v>
      </c>
      <c r="H15" s="12">
        <v>0.1</v>
      </c>
      <c r="I15" s="13" t="s">
        <v>9</v>
      </c>
      <c r="J15" s="12">
        <v>0</v>
      </c>
      <c r="K15" s="12">
        <v>13</v>
      </c>
      <c r="L15" s="12">
        <v>1</v>
      </c>
      <c r="M15" s="12">
        <v>1</v>
      </c>
      <c r="N15" s="13">
        <v>-1</v>
      </c>
      <c r="O15" s="13">
        <v>0</v>
      </c>
      <c r="P15" s="13">
        <v>0</v>
      </c>
      <c r="Q15" s="12">
        <v>-1</v>
      </c>
      <c r="R15" s="12">
        <v>0</v>
      </c>
      <c r="S15" s="12">
        <v>0</v>
      </c>
      <c r="T15" t="str">
        <f t="shared" si="0"/>
        <v>radish</v>
      </c>
      <c r="U15" t="s">
        <v>95</v>
      </c>
      <c r="V15" s="13">
        <v>-1</v>
      </c>
      <c r="W15" s="19" t="s">
        <v>9</v>
      </c>
      <c r="X15" s="19" t="s">
        <v>10</v>
      </c>
      <c r="Y15">
        <v>-1</v>
      </c>
      <c r="Z15">
        <v>-1</v>
      </c>
      <c r="AA15">
        <v>-1</v>
      </c>
      <c r="AB15">
        <v>-1</v>
      </c>
      <c r="AC15">
        <v>-1</v>
      </c>
      <c r="AD15">
        <v>-1</v>
      </c>
      <c r="AE15">
        <v>-1</v>
      </c>
      <c r="AF15">
        <v>-1</v>
      </c>
      <c r="AG15">
        <v>3</v>
      </c>
      <c r="AH15" s="1">
        <v>0.5</v>
      </c>
      <c r="AI15">
        <v>1</v>
      </c>
    </row>
    <row r="16" spans="1:35" x14ac:dyDescent="0.25">
      <c r="A16">
        <v>14</v>
      </c>
      <c r="B16" s="1" t="s">
        <v>43</v>
      </c>
      <c r="C16" s="14">
        <v>-1</v>
      </c>
      <c r="D16" s="12">
        <v>-1</v>
      </c>
      <c r="E16" s="9" t="s">
        <v>48</v>
      </c>
      <c r="F16" s="18" t="s">
        <v>52</v>
      </c>
      <c r="G16" s="12">
        <v>0</v>
      </c>
      <c r="H16" s="12">
        <v>0.5</v>
      </c>
      <c r="I16" s="13" t="s">
        <v>9</v>
      </c>
      <c r="J16" s="12">
        <v>0</v>
      </c>
      <c r="K16" s="12">
        <v>14</v>
      </c>
      <c r="L16" s="12">
        <v>1</v>
      </c>
      <c r="M16" s="12">
        <v>1</v>
      </c>
      <c r="N16" s="13">
        <v>-1</v>
      </c>
      <c r="O16" s="12">
        <v>0</v>
      </c>
      <c r="P16" s="13">
        <v>0</v>
      </c>
      <c r="Q16" s="12">
        <v>-1</v>
      </c>
      <c r="R16" s="12">
        <v>0</v>
      </c>
      <c r="S16" s="12">
        <v>0</v>
      </c>
      <c r="T16" t="str">
        <f t="shared" si="0"/>
        <v>starfish</v>
      </c>
      <c r="U16" t="s">
        <v>95</v>
      </c>
      <c r="V16" s="13">
        <v>-1</v>
      </c>
      <c r="W16" s="19" t="s">
        <v>9</v>
      </c>
      <c r="X16" s="19" t="s">
        <v>10</v>
      </c>
      <c r="Y16">
        <v>-1</v>
      </c>
      <c r="Z16">
        <v>-1</v>
      </c>
      <c r="AA16">
        <v>-1</v>
      </c>
      <c r="AB16">
        <v>-1</v>
      </c>
      <c r="AC16">
        <v>-1</v>
      </c>
      <c r="AD16">
        <v>-1</v>
      </c>
      <c r="AE16">
        <v>-1</v>
      </c>
      <c r="AF16">
        <v>-1</v>
      </c>
      <c r="AG16" s="1">
        <v>2</v>
      </c>
      <c r="AH16" s="1">
        <v>0.5</v>
      </c>
      <c r="AI16">
        <v>1</v>
      </c>
    </row>
    <row r="17" spans="1:35" x14ac:dyDescent="0.25">
      <c r="A17">
        <v>15</v>
      </c>
      <c r="B17" s="1" t="s">
        <v>86</v>
      </c>
      <c r="C17" s="14">
        <v>-1</v>
      </c>
      <c r="D17" s="12">
        <v>-1</v>
      </c>
      <c r="E17" s="9" t="s">
        <v>50</v>
      </c>
      <c r="F17" s="18" t="s">
        <v>52</v>
      </c>
      <c r="G17" s="12">
        <v>1</v>
      </c>
      <c r="H17" s="12">
        <v>2</v>
      </c>
      <c r="I17" s="13" t="s">
        <v>9</v>
      </c>
      <c r="J17" s="12">
        <v>0</v>
      </c>
      <c r="K17" s="12">
        <v>15</v>
      </c>
      <c r="L17" s="12">
        <v>1</v>
      </c>
      <c r="M17" s="12">
        <v>1</v>
      </c>
      <c r="N17" s="13">
        <v>-1</v>
      </c>
      <c r="O17" s="12">
        <v>0</v>
      </c>
      <c r="P17" s="13">
        <v>0</v>
      </c>
      <c r="Q17" s="12">
        <v>-1</v>
      </c>
      <c r="R17" s="12">
        <v>0</v>
      </c>
      <c r="S17" s="12">
        <v>0</v>
      </c>
      <c r="T17" t="str">
        <f t="shared" si="0"/>
        <v>torch</v>
      </c>
      <c r="U17" t="s">
        <v>95</v>
      </c>
      <c r="V17" s="13">
        <v>-1</v>
      </c>
      <c r="W17" s="19" t="s">
        <v>9</v>
      </c>
      <c r="X17" s="19" t="s">
        <v>9</v>
      </c>
      <c r="Y17">
        <v>-1</v>
      </c>
      <c r="Z17">
        <v>-1</v>
      </c>
      <c r="AA17">
        <v>-1</v>
      </c>
      <c r="AB17">
        <v>-1</v>
      </c>
      <c r="AC17">
        <v>-1</v>
      </c>
      <c r="AD17">
        <v>-1</v>
      </c>
      <c r="AE17">
        <v>-1</v>
      </c>
      <c r="AF17">
        <v>-1</v>
      </c>
      <c r="AG17">
        <v>0</v>
      </c>
      <c r="AH17" s="1">
        <v>0</v>
      </c>
      <c r="AI17">
        <v>1</v>
      </c>
    </row>
    <row r="18" spans="1:35" x14ac:dyDescent="0.25">
      <c r="A18">
        <v>16</v>
      </c>
      <c r="B18" s="1" t="s">
        <v>44</v>
      </c>
      <c r="C18" s="14">
        <v>-1</v>
      </c>
      <c r="D18" s="12">
        <v>-1</v>
      </c>
      <c r="E18" s="9" t="s">
        <v>50</v>
      </c>
      <c r="F18" s="18" t="s">
        <v>54</v>
      </c>
      <c r="G18" s="12">
        <v>1</v>
      </c>
      <c r="H18" s="12">
        <v>2</v>
      </c>
      <c r="I18" s="13" t="s">
        <v>9</v>
      </c>
      <c r="J18" s="12">
        <v>0</v>
      </c>
      <c r="K18" s="12">
        <v>16</v>
      </c>
      <c r="L18" s="12">
        <v>1</v>
      </c>
      <c r="M18" s="12">
        <v>1</v>
      </c>
      <c r="N18" s="13">
        <v>-1</v>
      </c>
      <c r="O18" s="12">
        <v>0</v>
      </c>
      <c r="P18" s="12">
        <v>0</v>
      </c>
      <c r="Q18" s="12">
        <v>-1</v>
      </c>
      <c r="R18" s="12">
        <v>0</v>
      </c>
      <c r="S18" s="12">
        <v>0</v>
      </c>
      <c r="T18" t="str">
        <f t="shared" si="0"/>
        <v>craftingtable</v>
      </c>
      <c r="U18" t="s">
        <v>95</v>
      </c>
      <c r="V18" s="13">
        <v>100</v>
      </c>
      <c r="W18" s="19" t="s">
        <v>10</v>
      </c>
      <c r="X18" s="19" t="s">
        <v>9</v>
      </c>
      <c r="Y18">
        <v>4</v>
      </c>
      <c r="Z18">
        <v>4</v>
      </c>
      <c r="AA18">
        <v>5</v>
      </c>
      <c r="AB18">
        <v>3</v>
      </c>
      <c r="AC18">
        <v>-1</v>
      </c>
      <c r="AD18">
        <v>-1</v>
      </c>
      <c r="AE18">
        <v>-1</v>
      </c>
      <c r="AF18">
        <v>-1</v>
      </c>
      <c r="AG18">
        <v>0</v>
      </c>
      <c r="AH18" s="1">
        <v>0</v>
      </c>
      <c r="AI18">
        <v>1</v>
      </c>
    </row>
    <row r="19" spans="1:35" x14ac:dyDescent="0.25">
      <c r="A19">
        <v>17</v>
      </c>
      <c r="B19" s="1" t="s">
        <v>88</v>
      </c>
      <c r="C19" s="14">
        <v>-1</v>
      </c>
      <c r="D19" s="12">
        <v>-1</v>
      </c>
      <c r="E19" s="9" t="s">
        <v>102</v>
      </c>
      <c r="F19" s="18" t="s">
        <v>54</v>
      </c>
      <c r="G19" s="12">
        <v>0</v>
      </c>
      <c r="H19" s="12">
        <v>2</v>
      </c>
      <c r="I19" s="13" t="s">
        <v>9</v>
      </c>
      <c r="J19" s="12">
        <v>0</v>
      </c>
      <c r="K19" s="12">
        <v>-1</v>
      </c>
      <c r="L19" s="12">
        <v>1</v>
      </c>
      <c r="M19" s="12">
        <v>1</v>
      </c>
      <c r="N19" s="13">
        <v>-1</v>
      </c>
      <c r="O19" s="12">
        <v>0</v>
      </c>
      <c r="P19" s="12">
        <v>0</v>
      </c>
      <c r="Q19" s="12">
        <v>-1</v>
      </c>
      <c r="R19" s="12">
        <v>0</v>
      </c>
      <c r="S19" s="12">
        <v>0</v>
      </c>
      <c r="T19" t="str">
        <f t="shared" ref="T19:T20" si="2">TRIM(LOWER(SUBSTITUTE(B19," ", "")))</f>
        <v>woodenaxe</v>
      </c>
      <c r="U19" t="s">
        <v>95</v>
      </c>
      <c r="V19" s="13">
        <v>100</v>
      </c>
      <c r="W19" s="19" t="s">
        <v>10</v>
      </c>
      <c r="X19" s="19" t="s">
        <v>10</v>
      </c>
      <c r="Y19">
        <v>4</v>
      </c>
      <c r="Z19">
        <v>2</v>
      </c>
      <c r="AA19">
        <v>5</v>
      </c>
      <c r="AB19">
        <v>2</v>
      </c>
      <c r="AC19">
        <v>-1</v>
      </c>
      <c r="AD19">
        <v>-1</v>
      </c>
      <c r="AE19">
        <v>-1</v>
      </c>
      <c r="AF19">
        <v>-1</v>
      </c>
      <c r="AG19">
        <v>0</v>
      </c>
      <c r="AH19" s="1">
        <v>0</v>
      </c>
      <c r="AI19">
        <v>2</v>
      </c>
    </row>
    <row r="20" spans="1:35" x14ac:dyDescent="0.25">
      <c r="A20">
        <v>18</v>
      </c>
      <c r="B20" s="1" t="s">
        <v>109</v>
      </c>
      <c r="C20" s="14">
        <v>-1</v>
      </c>
      <c r="D20" s="12">
        <v>-1</v>
      </c>
      <c r="E20" s="9" t="s">
        <v>102</v>
      </c>
      <c r="F20" s="18" t="s">
        <v>51</v>
      </c>
      <c r="G20" s="12">
        <v>0</v>
      </c>
      <c r="H20" s="12">
        <v>2</v>
      </c>
      <c r="I20" s="13" t="s">
        <v>9</v>
      </c>
      <c r="J20" s="12">
        <v>0</v>
      </c>
      <c r="K20" s="12">
        <v>-1</v>
      </c>
      <c r="L20" s="12">
        <v>1</v>
      </c>
      <c r="M20" s="12">
        <v>1</v>
      </c>
      <c r="N20" s="13">
        <v>-1</v>
      </c>
      <c r="O20" s="12">
        <v>0</v>
      </c>
      <c r="P20" s="12">
        <v>0</v>
      </c>
      <c r="Q20" s="12">
        <v>-1</v>
      </c>
      <c r="R20" s="12">
        <v>0</v>
      </c>
      <c r="S20" s="12">
        <v>0</v>
      </c>
      <c r="T20" t="str">
        <f t="shared" si="2"/>
        <v>woodenpickaxe</v>
      </c>
      <c r="U20" t="s">
        <v>95</v>
      </c>
      <c r="V20" s="13">
        <v>100</v>
      </c>
      <c r="W20" s="19" t="s">
        <v>10</v>
      </c>
      <c r="X20" s="19" t="s">
        <v>10</v>
      </c>
      <c r="Y20">
        <v>4</v>
      </c>
      <c r="Z20">
        <v>2</v>
      </c>
      <c r="AA20">
        <v>5</v>
      </c>
      <c r="AB20">
        <v>3</v>
      </c>
      <c r="AC20">
        <v>-1</v>
      </c>
      <c r="AD20">
        <v>-1</v>
      </c>
      <c r="AE20">
        <v>-1</v>
      </c>
      <c r="AF20">
        <v>-1</v>
      </c>
      <c r="AG20">
        <v>0</v>
      </c>
      <c r="AH20" s="1">
        <v>0</v>
      </c>
      <c r="AI20">
        <v>2</v>
      </c>
    </row>
    <row r="21" spans="1:35" x14ac:dyDescent="0.25">
      <c r="A21">
        <v>19</v>
      </c>
      <c r="B21" s="1" t="s">
        <v>111</v>
      </c>
      <c r="C21" s="14">
        <v>-1</v>
      </c>
      <c r="D21" s="12">
        <v>-1</v>
      </c>
      <c r="E21" s="9" t="s">
        <v>102</v>
      </c>
      <c r="F21" s="18" t="s">
        <v>51</v>
      </c>
      <c r="G21" s="12">
        <v>0</v>
      </c>
      <c r="H21" s="12">
        <v>2</v>
      </c>
      <c r="I21" s="13" t="s">
        <v>9</v>
      </c>
      <c r="J21" s="12">
        <v>0</v>
      </c>
      <c r="K21" s="12">
        <v>-1</v>
      </c>
      <c r="L21" s="12">
        <v>1</v>
      </c>
      <c r="M21" s="12">
        <v>1</v>
      </c>
      <c r="N21" s="13">
        <v>-1</v>
      </c>
      <c r="O21" s="12">
        <v>0</v>
      </c>
      <c r="P21" s="12">
        <v>0</v>
      </c>
      <c r="Q21" s="12">
        <v>-1</v>
      </c>
      <c r="R21" s="12">
        <v>0</v>
      </c>
      <c r="S21" s="12">
        <v>0</v>
      </c>
      <c r="T21" t="str">
        <f t="shared" ref="T21" si="3">TRIM(LOWER(SUBSTITUTE(B21," ", "")))</f>
        <v>stonepickaxe</v>
      </c>
      <c r="U21" t="s">
        <v>95</v>
      </c>
      <c r="V21" s="13">
        <v>150</v>
      </c>
      <c r="W21" s="19" t="s">
        <v>10</v>
      </c>
      <c r="X21" s="19" t="s">
        <v>10</v>
      </c>
      <c r="Y21">
        <v>4</v>
      </c>
      <c r="Z21">
        <v>2</v>
      </c>
      <c r="AA21">
        <v>1</v>
      </c>
      <c r="AB21">
        <v>3</v>
      </c>
      <c r="AC21">
        <v>-1</v>
      </c>
      <c r="AD21">
        <v>-1</v>
      </c>
      <c r="AE21">
        <v>-1</v>
      </c>
      <c r="AF21">
        <v>-1</v>
      </c>
      <c r="AG21">
        <v>0</v>
      </c>
      <c r="AH21" s="1">
        <v>0</v>
      </c>
      <c r="AI21">
        <v>2</v>
      </c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ZConfig!$A$4:$A$30</xm:f>
          </x14:formula1>
          <xm:sqref>E2:E1048576</xm:sqref>
        </x14:dataValidation>
        <x14:dataValidation type="list" allowBlank="1" showInputMessage="1" showErrorMessage="1">
          <x14:formula1>
            <xm:f>ZConfig!$B$4:$B$20</xm:f>
          </x14:formula1>
          <xm:sqref>F2:F1048576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T11"/>
  <sheetViews>
    <sheetView zoomScaleNormal="100" workbookViewId="0">
      <pane ySplit="1" topLeftCell="A2" activePane="bottomLeft" state="frozen"/>
      <selection pane="bottomLeft" activeCell="H11" sqref="H11"/>
    </sheetView>
  </sheetViews>
  <sheetFormatPr defaultColWidth="4.140625" defaultRowHeight="15" x14ac:dyDescent="0.25"/>
  <cols>
    <col min="1" max="1" width="2.7109375" style="1" bestFit="1" customWidth="1"/>
    <col min="2" max="2" width="8.7109375" style="1" customWidth="1"/>
    <col min="3" max="3" width="12.42578125" style="9" bestFit="1" customWidth="1"/>
    <col min="4" max="4" width="9.5703125" style="9" bestFit="1" customWidth="1"/>
    <col min="5" max="5" width="6.7109375" style="12" bestFit="1" customWidth="1"/>
    <col min="6" max="6" width="8.28515625" style="12" bestFit="1" customWidth="1"/>
    <col min="7" max="7" width="7.140625" style="12" bestFit="1" customWidth="1"/>
    <col min="8" max="8" width="12.42578125" style="9" customWidth="1"/>
    <col min="9" max="9" width="10.85546875" style="12" customWidth="1"/>
    <col min="10" max="10" width="5.85546875" style="12" bestFit="1" customWidth="1"/>
    <col min="11" max="11" width="14.140625" style="12" customWidth="1"/>
    <col min="12" max="12" width="10.28515625" style="12" bestFit="1" customWidth="1"/>
    <col min="13" max="13" width="8" bestFit="1" customWidth="1"/>
    <col min="14" max="14" width="13.42578125" bestFit="1" customWidth="1"/>
    <col min="15" max="15" width="8" bestFit="1" customWidth="1"/>
    <col min="16" max="16" width="13.42578125" bestFit="1" customWidth="1"/>
    <col min="17" max="17" width="8" bestFit="1" customWidth="1"/>
    <col min="18" max="18" width="13.42578125" bestFit="1" customWidth="1"/>
    <col min="19" max="19" width="8" bestFit="1" customWidth="1"/>
    <col min="20" max="20" width="13.42578125" bestFit="1" customWidth="1"/>
  </cols>
  <sheetData>
    <row r="1" spans="1:20" x14ac:dyDescent="0.25">
      <c r="A1" t="s">
        <v>56</v>
      </c>
      <c r="B1" t="s">
        <v>2</v>
      </c>
      <c r="C1" t="s">
        <v>57</v>
      </c>
      <c r="D1" t="s">
        <v>58</v>
      </c>
      <c r="E1" s="13" t="s">
        <v>59</v>
      </c>
      <c r="F1" s="13" t="s">
        <v>60</v>
      </c>
      <c r="G1" s="13" t="s">
        <v>61</v>
      </c>
      <c r="H1" t="s">
        <v>62</v>
      </c>
      <c r="I1" s="13" t="s">
        <v>63</v>
      </c>
      <c r="J1" s="13" t="s">
        <v>64</v>
      </c>
      <c r="K1" s="13" t="s">
        <v>65</v>
      </c>
      <c r="L1" s="13" t="s">
        <v>66</v>
      </c>
      <c r="M1" t="s">
        <v>67</v>
      </c>
      <c r="N1" t="s">
        <v>68</v>
      </c>
      <c r="O1" t="s">
        <v>69</v>
      </c>
      <c r="P1" t="s">
        <v>70</v>
      </c>
      <c r="Q1" t="s">
        <v>71</v>
      </c>
      <c r="R1" t="s">
        <v>72</v>
      </c>
      <c r="S1" t="s">
        <v>73</v>
      </c>
      <c r="T1" t="s">
        <v>74</v>
      </c>
    </row>
    <row r="2" spans="1:20" x14ac:dyDescent="0.25">
      <c r="A2">
        <v>0</v>
      </c>
      <c r="B2" t="s">
        <v>5</v>
      </c>
      <c r="C2" t="s">
        <v>7</v>
      </c>
      <c r="D2">
        <v>-1</v>
      </c>
      <c r="E2" s="13">
        <v>0</v>
      </c>
      <c r="F2" s="13">
        <v>0</v>
      </c>
      <c r="G2" s="13">
        <v>0</v>
      </c>
      <c r="H2" t="s">
        <v>75</v>
      </c>
      <c r="I2" s="19" t="s">
        <v>9</v>
      </c>
      <c r="J2" s="13">
        <v>1</v>
      </c>
      <c r="K2" s="13" t="s">
        <v>76</v>
      </c>
      <c r="L2" s="19" t="s">
        <v>10</v>
      </c>
      <c r="M2">
        <v>-1</v>
      </c>
      <c r="N2">
        <v>-1</v>
      </c>
      <c r="O2">
        <v>-1</v>
      </c>
      <c r="P2">
        <v>-1</v>
      </c>
      <c r="Q2">
        <v>-1</v>
      </c>
      <c r="R2">
        <v>-1</v>
      </c>
      <c r="S2">
        <v>-1</v>
      </c>
      <c r="T2">
        <v>-1</v>
      </c>
    </row>
    <row r="3" spans="1:20" x14ac:dyDescent="0.25">
      <c r="A3">
        <v>1</v>
      </c>
      <c r="B3" t="s">
        <v>5</v>
      </c>
      <c r="C3" t="s">
        <v>77</v>
      </c>
      <c r="D3">
        <v>-1</v>
      </c>
      <c r="E3" s="13">
        <v>0</v>
      </c>
      <c r="F3" s="13">
        <v>0</v>
      </c>
      <c r="G3" s="13">
        <v>0</v>
      </c>
      <c r="H3" t="s">
        <v>75</v>
      </c>
      <c r="I3" s="19" t="s">
        <v>9</v>
      </c>
      <c r="J3" s="13">
        <v>1</v>
      </c>
      <c r="K3" s="13" t="s">
        <v>78</v>
      </c>
      <c r="L3" s="19" t="s">
        <v>10</v>
      </c>
      <c r="M3">
        <v>-1</v>
      </c>
      <c r="N3">
        <v>-1</v>
      </c>
      <c r="O3">
        <v>-1</v>
      </c>
      <c r="P3">
        <v>-1</v>
      </c>
      <c r="Q3">
        <v>-1</v>
      </c>
      <c r="R3">
        <v>-1</v>
      </c>
      <c r="S3">
        <v>-1</v>
      </c>
      <c r="T3">
        <v>-1</v>
      </c>
    </row>
    <row r="4" spans="1:20" x14ac:dyDescent="0.25">
      <c r="A4">
        <v>2</v>
      </c>
      <c r="B4" t="s">
        <v>5</v>
      </c>
      <c r="C4" t="s">
        <v>79</v>
      </c>
      <c r="D4">
        <v>-1</v>
      </c>
      <c r="E4" s="13">
        <v>0</v>
      </c>
      <c r="F4" s="13">
        <v>0</v>
      </c>
      <c r="G4" s="13">
        <v>0</v>
      </c>
      <c r="H4" t="s">
        <v>75</v>
      </c>
      <c r="I4" s="19" t="s">
        <v>9</v>
      </c>
      <c r="J4" s="13">
        <v>1</v>
      </c>
      <c r="K4" s="13" t="s">
        <v>80</v>
      </c>
      <c r="L4" s="19" t="s">
        <v>10</v>
      </c>
      <c r="M4">
        <v>-1</v>
      </c>
      <c r="N4">
        <v>-1</v>
      </c>
      <c r="O4">
        <v>-1</v>
      </c>
      <c r="P4">
        <v>-1</v>
      </c>
      <c r="Q4">
        <v>-1</v>
      </c>
      <c r="R4">
        <v>-1</v>
      </c>
      <c r="S4">
        <v>-1</v>
      </c>
      <c r="T4">
        <v>-1</v>
      </c>
    </row>
    <row r="5" spans="1:20" x14ac:dyDescent="0.25">
      <c r="A5">
        <v>3</v>
      </c>
      <c r="B5" t="s">
        <v>5</v>
      </c>
      <c r="C5" t="s">
        <v>8</v>
      </c>
      <c r="D5">
        <v>-1</v>
      </c>
      <c r="E5" s="13">
        <v>0</v>
      </c>
      <c r="F5" s="13">
        <v>0</v>
      </c>
      <c r="G5" s="13">
        <v>0</v>
      </c>
      <c r="H5" t="s">
        <v>75</v>
      </c>
      <c r="I5" s="19" t="s">
        <v>9</v>
      </c>
      <c r="J5" s="13">
        <v>1</v>
      </c>
      <c r="K5" s="13" t="s">
        <v>81</v>
      </c>
      <c r="L5" s="19" t="s">
        <v>10</v>
      </c>
      <c r="M5">
        <v>-1</v>
      </c>
      <c r="N5">
        <v>-1</v>
      </c>
      <c r="O5">
        <v>-1</v>
      </c>
      <c r="P5">
        <v>-1</v>
      </c>
      <c r="Q5">
        <v>-1</v>
      </c>
      <c r="R5">
        <v>-1</v>
      </c>
      <c r="S5">
        <v>-1</v>
      </c>
      <c r="T5">
        <v>-1</v>
      </c>
    </row>
    <row r="6" spans="1:20" x14ac:dyDescent="0.25">
      <c r="A6">
        <v>4</v>
      </c>
      <c r="B6" t="s">
        <v>11</v>
      </c>
      <c r="C6" t="s">
        <v>82</v>
      </c>
      <c r="D6">
        <v>-1</v>
      </c>
      <c r="E6" s="13">
        <v>0</v>
      </c>
      <c r="F6" s="13">
        <v>0</v>
      </c>
      <c r="G6" s="13">
        <v>0</v>
      </c>
      <c r="H6" t="s">
        <v>75</v>
      </c>
      <c r="I6" s="19" t="s">
        <v>9</v>
      </c>
      <c r="J6" s="13">
        <v>1</v>
      </c>
      <c r="K6" s="13" t="s">
        <v>83</v>
      </c>
      <c r="L6" s="19" t="s">
        <v>10</v>
      </c>
      <c r="M6">
        <v>-1</v>
      </c>
      <c r="N6">
        <v>-1</v>
      </c>
      <c r="O6">
        <v>-1</v>
      </c>
      <c r="P6">
        <v>-1</v>
      </c>
      <c r="Q6">
        <v>-1</v>
      </c>
      <c r="R6">
        <v>-1</v>
      </c>
      <c r="S6">
        <v>-1</v>
      </c>
      <c r="T6">
        <v>-1</v>
      </c>
    </row>
    <row r="7" spans="1:20" x14ac:dyDescent="0.25">
      <c r="A7">
        <v>5</v>
      </c>
      <c r="B7" t="s">
        <v>5</v>
      </c>
      <c r="C7" t="s">
        <v>84</v>
      </c>
      <c r="D7">
        <v>-1</v>
      </c>
      <c r="E7" s="13">
        <v>0</v>
      </c>
      <c r="F7" s="13">
        <v>0</v>
      </c>
      <c r="G7" s="13">
        <v>0</v>
      </c>
      <c r="H7" t="s">
        <v>75</v>
      </c>
      <c r="I7" s="19" t="s">
        <v>9</v>
      </c>
      <c r="J7" s="13">
        <v>1</v>
      </c>
      <c r="K7" s="13" t="s">
        <v>85</v>
      </c>
      <c r="L7" s="19" t="s">
        <v>10</v>
      </c>
      <c r="M7">
        <v>-1</v>
      </c>
      <c r="N7">
        <v>-1</v>
      </c>
      <c r="O7">
        <v>-1</v>
      </c>
      <c r="P7">
        <v>-1</v>
      </c>
      <c r="Q7">
        <v>-1</v>
      </c>
      <c r="R7">
        <v>-1</v>
      </c>
      <c r="S7">
        <v>-1</v>
      </c>
      <c r="T7">
        <v>-1</v>
      </c>
    </row>
    <row r="8" spans="1:20" x14ac:dyDescent="0.25">
      <c r="A8">
        <v>6</v>
      </c>
      <c r="B8" t="s">
        <v>5</v>
      </c>
      <c r="C8" t="s">
        <v>86</v>
      </c>
      <c r="D8">
        <v>-1</v>
      </c>
      <c r="E8" s="13">
        <v>0</v>
      </c>
      <c r="F8" s="13">
        <v>0</v>
      </c>
      <c r="G8" s="13">
        <v>0</v>
      </c>
      <c r="H8" t="s">
        <v>75</v>
      </c>
      <c r="I8" s="19" t="s">
        <v>9</v>
      </c>
      <c r="J8" s="13">
        <v>1</v>
      </c>
      <c r="K8" s="13" t="s">
        <v>87</v>
      </c>
      <c r="L8" s="19" t="s">
        <v>9</v>
      </c>
      <c r="M8">
        <v>3</v>
      </c>
      <c r="N8">
        <v>2</v>
      </c>
      <c r="O8">
        <v>5</v>
      </c>
      <c r="P8">
        <v>1</v>
      </c>
      <c r="Q8">
        <v>-1</v>
      </c>
      <c r="R8">
        <v>-1</v>
      </c>
      <c r="S8">
        <v>-1</v>
      </c>
      <c r="T8">
        <v>-1</v>
      </c>
    </row>
    <row r="9" spans="1:20" x14ac:dyDescent="0.25">
      <c r="A9" s="1">
        <v>7</v>
      </c>
      <c r="B9" t="s">
        <v>6</v>
      </c>
      <c r="C9" s="9" t="s">
        <v>88</v>
      </c>
      <c r="D9" s="14">
        <v>100</v>
      </c>
      <c r="E9" s="12">
        <v>10</v>
      </c>
      <c r="F9" s="12">
        <v>0</v>
      </c>
      <c r="G9" s="12">
        <v>0</v>
      </c>
      <c r="H9" s="9" t="s">
        <v>88</v>
      </c>
      <c r="I9" s="19" t="s">
        <v>10</v>
      </c>
      <c r="J9" s="12">
        <v>1</v>
      </c>
      <c r="K9" s="12" t="s">
        <v>89</v>
      </c>
      <c r="L9" s="19" t="s">
        <v>10</v>
      </c>
      <c r="M9">
        <v>3</v>
      </c>
      <c r="N9">
        <v>3</v>
      </c>
      <c r="O9">
        <v>2</v>
      </c>
      <c r="P9">
        <v>2</v>
      </c>
      <c r="Q9">
        <v>-1</v>
      </c>
      <c r="R9">
        <v>-1</v>
      </c>
      <c r="S9">
        <v>-1</v>
      </c>
      <c r="T9">
        <v>-1</v>
      </c>
    </row>
    <row r="10" spans="1:20" x14ac:dyDescent="0.25">
      <c r="A10" s="1">
        <v>8</v>
      </c>
      <c r="B10" t="s">
        <v>4</v>
      </c>
      <c r="C10" s="9" t="s">
        <v>90</v>
      </c>
      <c r="D10" s="14">
        <v>100</v>
      </c>
      <c r="E10" s="12">
        <v>10</v>
      </c>
      <c r="F10" s="12">
        <v>0</v>
      </c>
      <c r="G10" s="12">
        <v>0</v>
      </c>
      <c r="H10" s="9" t="s">
        <v>88</v>
      </c>
      <c r="I10" s="19" t="s">
        <v>10</v>
      </c>
      <c r="J10" s="12">
        <v>1</v>
      </c>
      <c r="K10" s="12" t="s">
        <v>91</v>
      </c>
      <c r="L10" s="19" t="s">
        <v>9</v>
      </c>
      <c r="M10">
        <v>2</v>
      </c>
      <c r="N10">
        <v>5</v>
      </c>
      <c r="O10">
        <v>-1</v>
      </c>
      <c r="P10">
        <v>-1</v>
      </c>
      <c r="Q10">
        <v>-1</v>
      </c>
      <c r="R10">
        <v>-1</v>
      </c>
      <c r="S10">
        <v>-1</v>
      </c>
      <c r="T10">
        <v>-1</v>
      </c>
    </row>
    <row r="11" spans="1:20" x14ac:dyDescent="0.25">
      <c r="A11" s="1">
        <v>9</v>
      </c>
      <c r="B11" s="1" t="s">
        <v>3</v>
      </c>
      <c r="C11" s="9" t="s">
        <v>92</v>
      </c>
      <c r="D11" s="14">
        <v>100</v>
      </c>
      <c r="E11" s="12">
        <v>0</v>
      </c>
      <c r="F11" s="12">
        <v>50</v>
      </c>
      <c r="G11" s="12">
        <v>0</v>
      </c>
      <c r="H11" s="9" t="s">
        <v>93</v>
      </c>
      <c r="I11" s="19" t="s">
        <v>10</v>
      </c>
      <c r="J11" s="12">
        <v>1</v>
      </c>
      <c r="K11" s="12" t="s">
        <v>92</v>
      </c>
      <c r="L11" s="19" t="s">
        <v>10</v>
      </c>
      <c r="M11">
        <v>2</v>
      </c>
      <c r="N11">
        <v>5</v>
      </c>
      <c r="O11">
        <v>-1</v>
      </c>
      <c r="P11">
        <v>-1</v>
      </c>
      <c r="Q11">
        <v>-1</v>
      </c>
      <c r="R11">
        <v>-1</v>
      </c>
      <c r="S11">
        <v>-1</v>
      </c>
      <c r="T11">
        <v>-1</v>
      </c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[1]ZConfig!#REF!</xm:f>
          </x14:formula1>
          <xm:sqref>B2:B41</xm:sqref>
        </x14:dataValidation>
        <x14:dataValidation type="list" allowBlank="1" showInputMessage="1" showErrorMessage="1">
          <x14:formula1>
            <xm:f>[1]ZConfig!#REF!</xm:f>
          </x14:formula1>
          <xm:sqref>F27:F44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O28"/>
  <sheetViews>
    <sheetView zoomScaleNormal="100" workbookViewId="0">
      <selection activeCell="C18" sqref="C18"/>
    </sheetView>
  </sheetViews>
  <sheetFormatPr defaultRowHeight="15" x14ac:dyDescent="0.25"/>
  <cols>
    <col min="1" max="1" width="11.7109375" style="2" bestFit="1" customWidth="1"/>
    <col min="2" max="2" width="13.140625" style="2" customWidth="1"/>
    <col min="3" max="3" width="12.140625" style="2" customWidth="1"/>
    <col min="4" max="5" width="9.140625" style="2"/>
    <col min="6" max="6" width="12.85546875" style="11" bestFit="1" customWidth="1"/>
    <col min="7" max="7" width="10.42578125" style="2" bestFit="1" customWidth="1"/>
    <col min="8" max="8" width="9.140625" style="2"/>
    <col min="9" max="10" width="9.140625" style="7"/>
    <col min="11" max="11" width="19.5703125" style="7" bestFit="1" customWidth="1"/>
    <col min="12" max="40" width="9.140625" style="7"/>
    <col min="41" max="41" width="57.28515625" style="7" bestFit="1" customWidth="1"/>
    <col min="42" max="16384" width="9.140625" style="7"/>
  </cols>
  <sheetData>
    <row r="1" spans="1:41" x14ac:dyDescent="0.25">
      <c r="A1" s="4" t="s">
        <v>0</v>
      </c>
      <c r="B1" s="2" t="s">
        <v>12</v>
      </c>
      <c r="C1" s="5"/>
      <c r="D1" s="5"/>
      <c r="E1" s="5"/>
      <c r="F1" s="10"/>
      <c r="G1" s="5"/>
      <c r="H1" s="5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AN1" s="8"/>
      <c r="AO1" s="3" t="s">
        <v>1</v>
      </c>
    </row>
    <row r="3" spans="1:41" x14ac:dyDescent="0.25">
      <c r="A3" s="4" t="s">
        <v>2</v>
      </c>
      <c r="B3" s="4" t="s">
        <v>13</v>
      </c>
    </row>
    <row r="4" spans="1:41" x14ac:dyDescent="0.25">
      <c r="A4" s="2" t="s">
        <v>100</v>
      </c>
      <c r="B4" s="2" t="s">
        <v>96</v>
      </c>
    </row>
    <row r="5" spans="1:41" x14ac:dyDescent="0.25">
      <c r="A5" s="2" t="s">
        <v>48</v>
      </c>
      <c r="B5" s="2" t="s">
        <v>52</v>
      </c>
    </row>
    <row r="6" spans="1:41" x14ac:dyDescent="0.25">
      <c r="A6" s="2" t="s">
        <v>49</v>
      </c>
      <c r="B6" s="2" t="s">
        <v>54</v>
      </c>
    </row>
    <row r="7" spans="1:41" x14ac:dyDescent="0.25">
      <c r="A7" s="2" t="s">
        <v>47</v>
      </c>
      <c r="B7" s="2" t="s">
        <v>51</v>
      </c>
    </row>
    <row r="8" spans="1:41" x14ac:dyDescent="0.25">
      <c r="A8" s="2" t="s">
        <v>46</v>
      </c>
      <c r="B8" s="2" t="s">
        <v>55</v>
      </c>
    </row>
    <row r="9" spans="1:41" x14ac:dyDescent="0.25">
      <c r="A9" s="2" t="s">
        <v>101</v>
      </c>
      <c r="B9" s="2" t="s">
        <v>97</v>
      </c>
    </row>
    <row r="10" spans="1:41" x14ac:dyDescent="0.25">
      <c r="A10" s="2" t="s">
        <v>45</v>
      </c>
      <c r="B10" s="2" t="s">
        <v>53</v>
      </c>
    </row>
    <row r="11" spans="1:41" x14ac:dyDescent="0.25">
      <c r="A11" s="2" t="s">
        <v>102</v>
      </c>
      <c r="B11" s="2" t="s">
        <v>98</v>
      </c>
    </row>
    <row r="12" spans="1:41" x14ac:dyDescent="0.25">
      <c r="A12" s="2" t="s">
        <v>103</v>
      </c>
      <c r="B12" s="2" t="s">
        <v>99</v>
      </c>
    </row>
    <row r="13" spans="1:41" x14ac:dyDescent="0.25">
      <c r="A13" s="2" t="s">
        <v>104</v>
      </c>
    </row>
    <row r="14" spans="1:41" x14ac:dyDescent="0.25">
      <c r="A14" s="2" t="s">
        <v>105</v>
      </c>
    </row>
    <row r="15" spans="1:41" x14ac:dyDescent="0.25">
      <c r="A15" s="2" t="s">
        <v>50</v>
      </c>
    </row>
    <row r="16" spans="1:41" x14ac:dyDescent="0.25">
      <c r="A16" s="2" t="s">
        <v>106</v>
      </c>
    </row>
    <row r="17" spans="2:2" x14ac:dyDescent="0.25">
      <c r="B17" s="16"/>
    </row>
    <row r="18" spans="2:2" x14ac:dyDescent="0.25">
      <c r="B18" s="16"/>
    </row>
    <row r="19" spans="2:2" x14ac:dyDescent="0.25">
      <c r="B19" s="17"/>
    </row>
    <row r="20" spans="2:2" x14ac:dyDescent="0.25">
      <c r="B20" s="17"/>
    </row>
    <row r="21" spans="2:2" x14ac:dyDescent="0.25">
      <c r="B21" s="16"/>
    </row>
    <row r="22" spans="2:2" x14ac:dyDescent="0.25">
      <c r="B22" s="16"/>
    </row>
    <row r="23" spans="2:2" x14ac:dyDescent="0.25">
      <c r="B23" s="16"/>
    </row>
    <row r="24" spans="2:2" x14ac:dyDescent="0.25">
      <c r="B24" s="16"/>
    </row>
    <row r="25" spans="2:2" x14ac:dyDescent="0.25">
      <c r="B25" s="16"/>
    </row>
    <row r="26" spans="2:2" x14ac:dyDescent="0.25">
      <c r="B26" s="16"/>
    </row>
    <row r="27" spans="2:2" x14ac:dyDescent="0.25">
      <c r="B27" s="16"/>
    </row>
    <row r="28" spans="2:2" x14ac:dyDescent="0.25">
      <c r="B28" s="16"/>
    </row>
  </sheetData>
  <conditionalFormatting sqref="A1 AN1:AO1 C1:AD1 A2:AD2 A3:A12 B4:B12 C3:AD4 A16:AD48 A13:C15 C5:C12 D5:AD15">
    <cfRule type="cellIs" dxfId="6" priority="39" stopIfTrue="1" operator="equal">
      <formula>"d1"</formula>
    </cfRule>
    <cfRule type="cellIs" dxfId="5" priority="40" stopIfTrue="1" operator="equal">
      <formula>"d0"</formula>
    </cfRule>
    <cfRule type="cellIs" dxfId="4" priority="41" stopIfTrue="1" operator="equal">
      <formula>"a2"</formula>
    </cfRule>
    <cfRule type="cellIs" dxfId="3" priority="42" stopIfTrue="1" operator="equal">
      <formula>"a1"</formula>
    </cfRule>
    <cfRule type="cellIs" dxfId="2" priority="43" stopIfTrue="1" operator="equal">
      <formula>"a0"</formula>
    </cfRule>
    <cfRule type="cellIs" dxfId="1" priority="44" stopIfTrue="1" operator="equal">
      <formula>"g1"</formula>
    </cfRule>
    <cfRule type="cellIs" dxfId="0" priority="45" stopIfTrue="1" operator="equal">
      <formula>"g0"</formula>
    </cfRule>
  </conditionalFormatting>
  <pageMargins left="0.7" right="0.7" top="0.75" bottom="0.75" header="0.3" footer="0.3"/>
  <pageSetup orientation="portrait" horizont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Itemsz</vt:lpstr>
      <vt:lpstr>Items</vt:lpstr>
      <vt:lpstr>ZConfig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Sandy</dc:creator>
  <cp:lastModifiedBy>Sandy</cp:lastModifiedBy>
  <cp:lastPrinted>2017-06-11T07:29:21Z</cp:lastPrinted>
  <dcterms:created xsi:type="dcterms:W3CDTF">2006-09-16T00:00:00Z</dcterms:created>
  <dcterms:modified xsi:type="dcterms:W3CDTF">2017-06-13T14:11:03Z</dcterms:modified>
</cp:coreProperties>
</file>